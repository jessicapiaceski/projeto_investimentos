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C99F6510-E9F5-4951-8AC0-0146CA3E5763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<sst xmlns="http://schemas.openxmlformats.org/spreadsheetml/2006/main" count="71" uniqueCount="34">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</sst>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F-430F-BF8F-05714952AE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F-430F-BF8F-05714952AE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F-430F-BF8F-05714952AE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5EF-430F-BF8F-05714952AE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5EF-430F-BF8F-05714952AE7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5EF-430F-BF8F-05714952AE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2721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H16" sqref="H16"/>
    </sheetView>
  </sheetViews>
  <sheetFormatPr defaultColWidth="0" defaultRowHeight="14.4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" thickBot="1"/>
    <row r="11" spans="2:4" ht="26.1">
      <c r="B11" s="5" t="s">
        <v>0</v>
      </c>
      <c r="C11" s="6"/>
      <c r="D11" s="7"/>
    </row>
    <row r="12" spans="2:4" ht="17.45">
      <c r="B12" s="43" t="s">
        <v>1</v>
      </c>
      <c r="C12" s="44"/>
      <c r="D12" s="23">
        <v>2000</v>
      </c>
    </row>
    <row r="13" spans="2:4" ht="17.45">
      <c r="B13" s="45" t="s">
        <v>2</v>
      </c>
      <c r="C13" s="46"/>
      <c r="D13" s="24">
        <v>6.0000000000000001E-3</v>
      </c>
    </row>
    <row r="14" spans="2:4" ht="18" thickBot="1">
      <c r="B14" s="52" t="s">
        <v>3</v>
      </c>
      <c r="C14" s="53"/>
      <c r="D14" s="25">
        <f>D12*30%</f>
        <v>600</v>
      </c>
    </row>
    <row r="15" spans="2:4" ht="15" thickBot="1"/>
    <row r="16" spans="2:4" ht="28.5" customHeight="1">
      <c r="B16" s="49" t="s">
        <v>4</v>
      </c>
      <c r="C16" s="50"/>
      <c r="D16" s="51"/>
    </row>
    <row r="17" spans="1:6" ht="17.45">
      <c r="B17" s="43" t="s">
        <v>5</v>
      </c>
      <c r="C17" s="44"/>
      <c r="D17" s="18">
        <v>200</v>
      </c>
    </row>
    <row r="18" spans="1:6" ht="17.45">
      <c r="B18" s="45" t="s">
        <v>6</v>
      </c>
      <c r="C18" s="46"/>
      <c r="D18" s="19">
        <v>5</v>
      </c>
    </row>
    <row r="19" spans="1:6" ht="17.45">
      <c r="B19" s="45" t="s">
        <v>7</v>
      </c>
      <c r="C19" s="46"/>
      <c r="D19" s="20">
        <v>1.0789999999999999E-2</v>
      </c>
    </row>
    <row r="20" spans="1:6" ht="17.45">
      <c r="B20" s="54" t="s">
        <v>8</v>
      </c>
      <c r="C20" s="55"/>
      <c r="D20" s="21">
        <f>FV(taxa_mensal,qtd_anos*12,aporte*-1)</f>
        <v>16755.382799697527</v>
      </c>
    </row>
    <row r="21" spans="1:6" ht="18" thickBot="1">
      <c r="B21" s="47" t="s">
        <v>9</v>
      </c>
      <c r="C21" s="48"/>
      <c r="D21" s="22">
        <f>patrimonio*rendimento_carteira</f>
        <v>100.53229679818516</v>
      </c>
      <c r="F21" s="3"/>
    </row>
    <row r="22" spans="1:6" ht="15" thickBot="1"/>
    <row r="23" spans="1:6" ht="29.1">
      <c r="B23" s="49" t="s">
        <v>10</v>
      </c>
      <c r="C23" s="50"/>
      <c r="D23" s="8" t="s">
        <v>11</v>
      </c>
    </row>
    <row r="24" spans="1:6" ht="17.45">
      <c r="A24" s="1">
        <v>2</v>
      </c>
      <c r="B24" s="9" t="s">
        <v>12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45">
      <c r="A25" s="1">
        <v>5</v>
      </c>
      <c r="B25" s="12" t="s">
        <v>13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45">
      <c r="A26" s="1">
        <v>10</v>
      </c>
      <c r="B26" s="12" t="s">
        <v>14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45">
      <c r="A27" s="1">
        <v>20</v>
      </c>
      <c r="B27" s="12" t="s">
        <v>15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16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17</v>
      </c>
      <c r="C32" s="27" t="s">
        <v>18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20</v>
      </c>
      <c r="C35" s="30" t="s">
        <v>21</v>
      </c>
      <c r="D35" s="30" t="s">
        <v>22</v>
      </c>
    </row>
    <row r="36" spans="2:4">
      <c r="B36" s="2" t="s">
        <v>23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24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25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26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27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28</v>
      </c>
      <c r="C41" s="4">
        <f>VLOOKUP($C$32&amp;"-"&amp;B41,Planilha2!$A:$D,4,FALSE)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41" t="s">
        <v>29</v>
      </c>
      <c r="B2" s="41" t="s">
        <v>17</v>
      </c>
      <c r="C2" s="42" t="s">
        <v>20</v>
      </c>
      <c r="D2" s="42" t="s">
        <v>30</v>
      </c>
    </row>
    <row r="3" spans="1:8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31</v>
      </c>
      <c r="C8" s="35" t="s">
        <v>28</v>
      </c>
      <c r="D8" s="36">
        <v>0</v>
      </c>
    </row>
    <row r="9" spans="1:8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>
      <c r="A10" s="37" t="str">
        <f t="shared" si="0"/>
        <v>Moderado-TIJOLO</v>
      </c>
      <c r="B10" s="37" t="s">
        <v>18</v>
      </c>
      <c r="C10" s="38" t="s">
        <v>24</v>
      </c>
      <c r="D10" s="39">
        <v>0.35</v>
      </c>
    </row>
    <row r="11" spans="1:8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18</v>
      </c>
      <c r="C14" s="35" t="s">
        <v>28</v>
      </c>
      <c r="D14" s="36">
        <v>0.1</v>
      </c>
    </row>
    <row r="15" spans="1:8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54D0D6DD-E6DB-45C8-8F90-E314C090C085}"/>
</file>

<file path=customXml/itemProps3.xml><?xml version="1.0" encoding="utf-8"?>
<ds:datastoreItem xmlns:ds="http://schemas.openxmlformats.org/officeDocument/2006/customXml" ds:itemID="{C32110DE-3D77-470C-9CED-65521C30E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2026-02-04T17:31:53Z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